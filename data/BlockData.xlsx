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mybasepaycom-my.sharepoint.com/personal/ericedelstein_mybasepay_com/Documents/Work/"/>
    </mc:Choice>
  </mc:AlternateContent>
  <xr:revisionPtr revIDLastSave="0" documentId="8_{99F9E566-9EC3-48D9-AAB2-08525707B577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Data" sheetId="1" r:id="rId1"/>
    <sheet name="System Prompt" sheetId="3" r:id="rId2"/>
    <sheet name="Questions" sheetId="2" r:id="rId3"/>
    <sheet name="Sheet1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2" i="1"/>
</calcChain>
</file>

<file path=xl/sharedStrings.xml><?xml version="1.0" encoding="utf-8"?>
<sst xmlns="http://schemas.openxmlformats.org/spreadsheetml/2006/main" count="142" uniqueCount="80">
  <si>
    <t>Ticket_Number</t>
  </si>
  <si>
    <t>Description</t>
  </si>
  <si>
    <t>Caller</t>
  </si>
  <si>
    <t>Priority</t>
  </si>
  <si>
    <t>Status</t>
  </si>
  <si>
    <t>Support_Team</t>
  </si>
  <si>
    <t>Created_Date_Time</t>
  </si>
  <si>
    <t>Created_By</t>
  </si>
  <si>
    <t>Updated_Date_Time</t>
  </si>
  <si>
    <t>Updated_By</t>
  </si>
  <si>
    <t>Due_Date_Time</t>
  </si>
  <si>
    <t>Resolution_Date_Time</t>
  </si>
  <si>
    <t>Resolved_By</t>
  </si>
  <si>
    <t>Resolution_Time_Seconds</t>
  </si>
  <si>
    <t>INC0007001</t>
  </si>
  <si>
    <t>Needed a password reset</t>
  </si>
  <si>
    <t>David Millerkind</t>
  </si>
  <si>
    <t>1 - Critical</t>
  </si>
  <si>
    <t>Resolved</t>
  </si>
  <si>
    <t>myBasePay Call Center</t>
  </si>
  <si>
    <t>Joe Bob Briggs</t>
  </si>
  <si>
    <t>Eric Edelstein</t>
  </si>
  <si>
    <t>INC0010172</t>
  </si>
  <si>
    <t>Needed to get access to Workday</t>
  </si>
  <si>
    <t>Ibukun Fadare</t>
  </si>
  <si>
    <t>3 - Moderate</t>
  </si>
  <si>
    <t>Joseph Banks</t>
  </si>
  <si>
    <t>INC0010140</t>
  </si>
  <si>
    <t>Unable to submit timecards</t>
  </si>
  <si>
    <t>Nestor Reyes</t>
  </si>
  <si>
    <t>Edgar Poe</t>
  </si>
  <si>
    <t>INC0010143</t>
  </si>
  <si>
    <t>No manager approval of time off</t>
  </si>
  <si>
    <t>Olivia Johnson</t>
  </si>
  <si>
    <t>INC0010141</t>
  </si>
  <si>
    <t>Need to change a timecard</t>
  </si>
  <si>
    <t>INC0010111</t>
  </si>
  <si>
    <t>Need help submitting an expense</t>
  </si>
  <si>
    <t>INC0010109</t>
  </si>
  <si>
    <t>Reporting an HR incident</t>
  </si>
  <si>
    <t>Abraham Lincoln</t>
  </si>
  <si>
    <t>INC0010047</t>
  </si>
  <si>
    <t>Unable to log into Workday</t>
  </si>
  <si>
    <t>Abel Tuter</t>
  </si>
  <si>
    <t>INC0010055</t>
  </si>
  <si>
    <t>Who is approver for expense when manager is out of office</t>
  </si>
  <si>
    <t>In Progress</t>
  </si>
  <si>
    <t>INC0010053</t>
  </si>
  <si>
    <t>Password reset not working</t>
  </si>
  <si>
    <t>INC0010051</t>
  </si>
  <si>
    <t>Timecard wasn't approved.</t>
  </si>
  <si>
    <t>New</t>
  </si>
  <si>
    <t xml:space="preserve">We have a call center and each person logs issues they get from calls into Jira as support tickets. We've exported the tickets to a spreadsheet.  </t>
  </si>
  <si>
    <t>The columns are as follows:</t>
  </si>
  <si>
    <t>Ticket_Number is the ID of the Jira ticket</t>
  </si>
  <si>
    <t>Description is a summary of the issue</t>
  </si>
  <si>
    <t>Caller is the person's name who called in with the issue</t>
  </si>
  <si>
    <t>Priority is the urgency level of the issue</t>
  </si>
  <si>
    <t>Status tells us what state the ticket is in, whether it's been resolved, in progress, or is newly submitted</t>
  </si>
  <si>
    <t>Support_Team is the name of the group that is answering the calls and handling the ticket</t>
  </si>
  <si>
    <t>Created_Date_Time is the date &amp; time the issue was received</t>
  </si>
  <si>
    <t>Created_By is the name of the call center team member who received the call and entered the ticket</t>
  </si>
  <si>
    <t>Updated_Date_Time is the date &amp; time the ticket was last updated</t>
  </si>
  <si>
    <t>Updated_By is the name of the call center  team member who last updated the ticket</t>
  </si>
  <si>
    <t>Due_Date_Time is the expected date and time at which the ticket should be resolved to meet the program's service level agreement (SLA)</t>
  </si>
  <si>
    <t>Duration_Seconds</t>
  </si>
  <si>
    <t>Resolution_Date_Time is the date &amp; time at which the issue was resolved</t>
  </si>
  <si>
    <t>Resolved_By is the name of the call center team member who resolved the issue</t>
  </si>
  <si>
    <t>Resolution_Time_Seconds is the time in seconds between when the issue was first reported ( the issue creation date &amp; time) and when it was finally resolved.</t>
  </si>
  <si>
    <t xml:space="preserve">We want to know about how well the program is performing, so we have the following question for you. </t>
  </si>
  <si>
    <t>What ticket took the longest to resolve?</t>
  </si>
  <si>
    <t>What is the most common subject of tickets received?</t>
  </si>
  <si>
    <t>Who submits the most tickets?</t>
  </si>
  <si>
    <t>Which call center memebr handles tickets fastest on average?</t>
  </si>
  <si>
    <t>Which call center memebr handles tickets slowest on average?</t>
  </si>
  <si>
    <t>which types of issues take the longest to resolve?</t>
  </si>
  <si>
    <t>which call center resource is best at resolving tickets within SLA?</t>
  </si>
  <si>
    <t>which call center resource needs the most improvement to resolve tickets within SLA?</t>
  </si>
  <si>
    <t>Overall, what percentage of tickets are outside of SLA?</t>
  </si>
  <si>
    <t>Any suggestions on how to improve our percentage of tickets within SLA?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</si>
</sst>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3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left" vertical="top" wrapText="1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pane ySplit="1" topLeftCell="A2" activePane="bottomLeft" state="frozen"/>
      <selection pane="bottomLeft" activeCell="N17" sqref="N17"/>
    </sheetView>
  </sheetViews>
  <sheetFormatPr defaultColWidth="8.85546875" defaultRowHeight="14.45"/>
  <cols>
    <col min="1" max="1" width="15.28515625" style="1" customWidth="1"/>
    <col min="2" max="2" width="41.7109375" style="1" customWidth="1"/>
    <col min="3" max="3" width="16.7109375" style="1" customWidth="1"/>
    <col min="4" max="4" width="15.28515625" style="6" customWidth="1"/>
    <col min="5" max="5" width="16.28515625" style="6" customWidth="1"/>
    <col min="6" max="6" width="24.7109375" style="1" customWidth="1"/>
    <col min="7" max="7" width="22.5703125" style="6" customWidth="1"/>
    <col min="8" max="8" width="29.140625" style="1" customWidth="1"/>
    <col min="9" max="9" width="30.5703125" style="6" customWidth="1"/>
    <col min="10" max="10" width="34" style="1" customWidth="1"/>
    <col min="11" max="11" width="18.7109375" style="6" customWidth="1"/>
    <col min="12" max="12" width="26.7109375" style="6" customWidth="1"/>
    <col min="13" max="13" width="12.28515625" style="1" bestFit="1" customWidth="1"/>
    <col min="14" max="14" width="27.85546875" style="6" customWidth="1"/>
    <col min="15" max="16384" width="8.85546875" style="6"/>
  </cols>
  <sheetData>
    <row r="1" spans="1:14">
      <c r="A1" s="5" t="s">
        <v>0</v>
      </c>
      <c r="B1" s="5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2">
        <v>45962.344756944447</v>
      </c>
      <c r="H2" s="1" t="s">
        <v>20</v>
      </c>
      <c r="I2" s="2">
        <v>45962.386423611111</v>
      </c>
      <c r="J2" s="1" t="s">
        <v>20</v>
      </c>
      <c r="K2" s="2">
        <v>45962.344756944447</v>
      </c>
      <c r="L2" s="2">
        <v>45962.386423611111</v>
      </c>
      <c r="M2" s="1" t="s">
        <v>21</v>
      </c>
      <c r="N2" s="3">
        <f>(L2-G2)*86400</f>
        <v>3599.9999997904524</v>
      </c>
    </row>
    <row r="3" spans="1:14">
      <c r="A3" s="1" t="s">
        <v>22</v>
      </c>
      <c r="B3" s="1" t="s">
        <v>23</v>
      </c>
      <c r="C3" s="1" t="s">
        <v>24</v>
      </c>
      <c r="D3" s="1" t="s">
        <v>25</v>
      </c>
      <c r="E3" s="1" t="s">
        <v>18</v>
      </c>
      <c r="F3" s="1" t="s">
        <v>19</v>
      </c>
      <c r="G3" s="2">
        <v>45962.844756944447</v>
      </c>
      <c r="H3" s="1" t="s">
        <v>26</v>
      </c>
      <c r="I3" s="2">
        <v>45962.928090277775</v>
      </c>
      <c r="J3" s="1" t="s">
        <v>26</v>
      </c>
      <c r="K3" s="2">
        <v>45962.844756944447</v>
      </c>
      <c r="L3" s="2">
        <v>45962.928090277775</v>
      </c>
      <c r="M3" s="1" t="s">
        <v>26</v>
      </c>
      <c r="N3" s="3">
        <f>(L3-G3)*86400</f>
        <v>7199.9999995809048</v>
      </c>
    </row>
    <row r="4" spans="1:14">
      <c r="A4" s="1" t="s">
        <v>27</v>
      </c>
      <c r="B4" s="1" t="s">
        <v>28</v>
      </c>
      <c r="C4" s="1" t="s">
        <v>29</v>
      </c>
      <c r="D4" s="1" t="s">
        <v>25</v>
      </c>
      <c r="E4" s="1" t="s">
        <v>18</v>
      </c>
      <c r="F4" s="1" t="s">
        <v>19</v>
      </c>
      <c r="G4" s="2">
        <v>45964.344756944447</v>
      </c>
      <c r="H4" s="1" t="s">
        <v>26</v>
      </c>
      <c r="I4" s="2">
        <v>45964.391284722224</v>
      </c>
      <c r="J4" s="1" t="s">
        <v>26</v>
      </c>
      <c r="K4" s="2">
        <v>45964.344756944447</v>
      </c>
      <c r="L4" s="2">
        <v>45964.391284722224</v>
      </c>
      <c r="M4" s="1" t="s">
        <v>30</v>
      </c>
      <c r="N4" s="3">
        <f>(L4-G4)*86400</f>
        <v>4019.9999999022111</v>
      </c>
    </row>
    <row r="5" spans="1:14">
      <c r="A5" s="1" t="s">
        <v>31</v>
      </c>
      <c r="B5" s="1" t="s">
        <v>32</v>
      </c>
      <c r="C5" s="1" t="s">
        <v>33</v>
      </c>
      <c r="D5" s="1" t="s">
        <v>25</v>
      </c>
      <c r="E5" s="1" t="s">
        <v>18</v>
      </c>
      <c r="F5" s="1" t="s">
        <v>19</v>
      </c>
      <c r="G5" s="2">
        <v>45965.344756944447</v>
      </c>
      <c r="H5" s="1" t="s">
        <v>26</v>
      </c>
      <c r="I5" s="2">
        <v>45965.428090277775</v>
      </c>
      <c r="J5" s="1" t="s">
        <v>26</v>
      </c>
      <c r="K5" s="2">
        <v>45965.344756944447</v>
      </c>
      <c r="L5" s="2">
        <v>45965.428090277775</v>
      </c>
      <c r="M5" s="1" t="s">
        <v>20</v>
      </c>
      <c r="N5" s="3">
        <f>(L5-G5)*86400</f>
        <v>7199.9999995809048</v>
      </c>
    </row>
    <row r="6" spans="1:14">
      <c r="A6" s="1" t="s">
        <v>34</v>
      </c>
      <c r="B6" s="1" t="s">
        <v>35</v>
      </c>
      <c r="C6" s="1" t="s">
        <v>33</v>
      </c>
      <c r="D6" s="1" t="s">
        <v>25</v>
      </c>
      <c r="E6" s="1" t="s">
        <v>18</v>
      </c>
      <c r="F6" s="1" t="s">
        <v>19</v>
      </c>
      <c r="G6" s="2">
        <v>45966.344756944447</v>
      </c>
      <c r="H6" s="1" t="s">
        <v>30</v>
      </c>
      <c r="I6" s="2">
        <v>45966.391284722224</v>
      </c>
      <c r="J6" s="1" t="s">
        <v>30</v>
      </c>
      <c r="K6" s="2">
        <v>45966.344756944447</v>
      </c>
      <c r="L6" s="2">
        <v>45966.391284722224</v>
      </c>
      <c r="M6" s="1" t="s">
        <v>21</v>
      </c>
      <c r="N6" s="3">
        <f>(L6-G6)*86400</f>
        <v>4019.9999999022111</v>
      </c>
    </row>
    <row r="7" spans="1:14">
      <c r="A7" s="1" t="s">
        <v>36</v>
      </c>
      <c r="B7" s="1" t="s">
        <v>37</v>
      </c>
      <c r="C7" s="1" t="s">
        <v>33</v>
      </c>
      <c r="D7" s="1" t="s">
        <v>25</v>
      </c>
      <c r="E7" s="1" t="s">
        <v>18</v>
      </c>
      <c r="F7" s="1" t="s">
        <v>19</v>
      </c>
      <c r="G7" s="2">
        <v>45967.344756944447</v>
      </c>
      <c r="H7" s="1" t="s">
        <v>20</v>
      </c>
      <c r="I7" s="2">
        <v>45967.469756944447</v>
      </c>
      <c r="J7" s="1" t="s">
        <v>20</v>
      </c>
      <c r="K7" s="2">
        <v>45967.344756944447</v>
      </c>
      <c r="L7" s="2">
        <v>45967.469756944447</v>
      </c>
      <c r="M7" s="1" t="s">
        <v>30</v>
      </c>
      <c r="N7" s="3">
        <f>(L7-G7)*86400</f>
        <v>10800</v>
      </c>
    </row>
    <row r="8" spans="1:14">
      <c r="A8" s="1" t="s">
        <v>38</v>
      </c>
      <c r="B8" s="1" t="s">
        <v>39</v>
      </c>
      <c r="C8" s="1" t="s">
        <v>40</v>
      </c>
      <c r="D8" s="1" t="s">
        <v>17</v>
      </c>
      <c r="E8" s="1" t="s">
        <v>18</v>
      </c>
      <c r="F8" s="1" t="s">
        <v>19</v>
      </c>
      <c r="G8" s="2">
        <v>45968.344756944447</v>
      </c>
      <c r="H8" s="1" t="s">
        <v>20</v>
      </c>
      <c r="I8" s="2">
        <v>45971.344756944447</v>
      </c>
      <c r="J8" s="1" t="s">
        <v>20</v>
      </c>
      <c r="K8" s="2">
        <v>45968.344756944447</v>
      </c>
      <c r="L8" s="2">
        <v>45971.344756944447</v>
      </c>
      <c r="M8" s="1" t="s">
        <v>21</v>
      </c>
      <c r="N8" s="3">
        <f>(L8-G8)*86400</f>
        <v>259200</v>
      </c>
    </row>
    <row r="9" spans="1:14">
      <c r="A9" s="1" t="s">
        <v>41</v>
      </c>
      <c r="B9" s="1" t="s">
        <v>42</v>
      </c>
      <c r="C9" s="1" t="s">
        <v>43</v>
      </c>
      <c r="D9" s="1" t="s">
        <v>17</v>
      </c>
      <c r="E9" s="1" t="s">
        <v>18</v>
      </c>
      <c r="F9" s="1" t="s">
        <v>19</v>
      </c>
      <c r="G9" s="2">
        <v>45971.344756944447</v>
      </c>
      <c r="H9" s="1" t="s">
        <v>20</v>
      </c>
      <c r="I9" s="2">
        <v>45971.364895833336</v>
      </c>
      <c r="J9" s="1" t="s">
        <v>20</v>
      </c>
      <c r="K9" s="2">
        <v>45971.344756944447</v>
      </c>
      <c r="L9" s="2">
        <v>45971.364895833336</v>
      </c>
      <c r="M9" s="1" t="s">
        <v>20</v>
      </c>
      <c r="N9" s="3">
        <f>(L9-G9)*86400</f>
        <v>1740.0000000139698</v>
      </c>
    </row>
    <row r="10" spans="1:14" ht="28.9">
      <c r="A10" s="1" t="s">
        <v>44</v>
      </c>
      <c r="B10" s="1" t="s">
        <v>45</v>
      </c>
      <c r="C10" s="1" t="s">
        <v>40</v>
      </c>
      <c r="D10" s="1" t="s">
        <v>25</v>
      </c>
      <c r="E10" s="1" t="s">
        <v>46</v>
      </c>
      <c r="F10" s="1" t="s">
        <v>19</v>
      </c>
      <c r="G10" s="2">
        <v>45972.344756944447</v>
      </c>
      <c r="H10" s="1" t="s">
        <v>20</v>
      </c>
      <c r="I10" s="2">
        <v>45972.386423611111</v>
      </c>
      <c r="J10" s="1" t="s">
        <v>20</v>
      </c>
      <c r="K10" s="2">
        <v>45972.344756944447</v>
      </c>
      <c r="L10" s="2"/>
      <c r="M10" s="1" t="s">
        <v>21</v>
      </c>
      <c r="N10" s="3"/>
    </row>
    <row r="11" spans="1:14">
      <c r="A11" s="1" t="s">
        <v>47</v>
      </c>
      <c r="B11" s="1" t="s">
        <v>48</v>
      </c>
      <c r="C11" s="1" t="s">
        <v>40</v>
      </c>
      <c r="D11" s="1" t="s">
        <v>17</v>
      </c>
      <c r="E11" s="1" t="s">
        <v>46</v>
      </c>
      <c r="F11" s="1" t="s">
        <v>19</v>
      </c>
      <c r="G11" s="2">
        <v>45972.844756944447</v>
      </c>
      <c r="H11" s="1" t="s">
        <v>30</v>
      </c>
      <c r="I11" s="2">
        <v>45972.969756944447</v>
      </c>
      <c r="J11" s="1" t="s">
        <v>30</v>
      </c>
      <c r="K11" s="2">
        <v>45972.844756944447</v>
      </c>
      <c r="L11" s="2"/>
      <c r="M11" s="1" t="s">
        <v>26</v>
      </c>
      <c r="N11" s="3"/>
    </row>
    <row r="12" spans="1:14">
      <c r="A12" s="1" t="s">
        <v>49</v>
      </c>
      <c r="B12" s="1" t="s">
        <v>50</v>
      </c>
      <c r="C12" s="1" t="s">
        <v>43</v>
      </c>
      <c r="D12" s="1" t="s">
        <v>25</v>
      </c>
      <c r="E12" s="1" t="s">
        <v>51</v>
      </c>
      <c r="F12" s="1" t="s">
        <v>19</v>
      </c>
      <c r="G12" s="2">
        <v>45973.344756944447</v>
      </c>
      <c r="H12" s="1" t="s">
        <v>30</v>
      </c>
      <c r="I12" s="2">
        <v>45973.469756944447</v>
      </c>
      <c r="J12" s="1" t="s">
        <v>30</v>
      </c>
      <c r="K12" s="2">
        <v>45973.344756944447</v>
      </c>
      <c r="L12" s="2"/>
      <c r="M12" s="1" t="s">
        <v>30</v>
      </c>
      <c r="N12" s="3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331A2-0F34-4D30-8B85-9C6F3425987F}">
  <dimension ref="A3:D21"/>
  <sheetViews>
    <sheetView workbookViewId="0">
      <selection activeCell="A18" sqref="A18:XFD18"/>
    </sheetView>
  </sheetViews>
  <sheetFormatPr defaultRowHeight="14.45"/>
  <cols>
    <col min="1" max="1" width="124.7109375" bestFit="1" customWidth="1"/>
  </cols>
  <sheetData>
    <row r="3" spans="1:4">
      <c r="A3" t="s">
        <v>52</v>
      </c>
    </row>
    <row r="4" spans="1:4">
      <c r="A4" t="s">
        <v>53</v>
      </c>
    </row>
    <row r="5" spans="1:4">
      <c r="A5" s="5" t="s">
        <v>54</v>
      </c>
    </row>
    <row r="6" spans="1:4">
      <c r="A6" s="5" t="s">
        <v>55</v>
      </c>
    </row>
    <row r="7" spans="1:4">
      <c r="A7" s="5" t="s">
        <v>56</v>
      </c>
    </row>
    <row r="8" spans="1:4">
      <c r="A8" s="5" t="s">
        <v>57</v>
      </c>
    </row>
    <row r="9" spans="1:4">
      <c r="A9" s="5" t="s">
        <v>58</v>
      </c>
    </row>
    <row r="10" spans="1:4">
      <c r="A10" s="5" t="s">
        <v>59</v>
      </c>
    </row>
    <row r="11" spans="1:4">
      <c r="A11" s="5" t="s">
        <v>60</v>
      </c>
    </row>
    <row r="12" spans="1:4">
      <c r="A12" s="5" t="s">
        <v>61</v>
      </c>
    </row>
    <row r="13" spans="1:4">
      <c r="A13" s="5" t="s">
        <v>62</v>
      </c>
    </row>
    <row r="14" spans="1:4">
      <c r="A14" s="5" t="s">
        <v>63</v>
      </c>
    </row>
    <row r="15" spans="1:4">
      <c r="A15" s="5" t="s">
        <v>64</v>
      </c>
    </row>
    <row r="16" spans="1:4" hidden="1">
      <c r="A16" s="5" t="s">
        <v>65</v>
      </c>
      <c r="B16" s="4"/>
      <c r="C16" s="4"/>
      <c r="D16" s="5"/>
    </row>
    <row r="17" spans="1:1" hidden="1">
      <c r="A17" s="5" t="s">
        <v>13</v>
      </c>
    </row>
    <row r="18" spans="1:1">
      <c r="A18" s="5" t="s">
        <v>66</v>
      </c>
    </row>
    <row r="19" spans="1:1">
      <c r="A19" s="5" t="s">
        <v>67</v>
      </c>
    </row>
    <row r="20" spans="1:1">
      <c r="A20" s="5" t="s">
        <v>68</v>
      </c>
    </row>
    <row r="21" spans="1:1">
      <c r="A21" s="5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CA4C3-CBC7-4FFA-8FAE-299DD31AAC54}">
  <dimension ref="A3:A12"/>
  <sheetViews>
    <sheetView workbookViewId="0">
      <selection activeCell="A13" sqref="A13"/>
    </sheetView>
  </sheetViews>
  <sheetFormatPr defaultRowHeight="14.45"/>
  <sheetData>
    <row r="3" spans="1:1">
      <c r="A3" t="s">
        <v>70</v>
      </c>
    </row>
    <row r="4" spans="1:1">
      <c r="A4" t="s">
        <v>71</v>
      </c>
    </row>
    <row r="5" spans="1:1">
      <c r="A5" t="s">
        <v>72</v>
      </c>
    </row>
    <row r="6" spans="1:1">
      <c r="A6" t="s">
        <v>73</v>
      </c>
    </row>
    <row r="7" spans="1:1">
      <c r="A7" t="s">
        <v>74</v>
      </c>
    </row>
    <row r="8" spans="1:1">
      <c r="A8" t="s">
        <v>75</v>
      </c>
    </row>
    <row r="9" spans="1:1">
      <c r="A9" t="s">
        <v>76</v>
      </c>
    </row>
    <row r="10" spans="1:1">
      <c r="A10" t="s">
        <v>77</v>
      </c>
    </row>
    <row r="11" spans="1:1">
      <c r="A11" t="s">
        <v>78</v>
      </c>
    </row>
    <row r="12" spans="1:1">
      <c r="A12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8B61F-FCFA-244D-8763-33FAFF4BE5D7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2025-11-12T22:31:51Z</dcterms:created>
  <dcterms:modified xsi:type="dcterms:W3CDTF">2025-11-13T16:15:46Z</dcterms:modified>
  <cp:category/>
  <cp:contentStatus/>
</cp:coreProperties>
</file>